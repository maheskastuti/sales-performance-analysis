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Salesperson Analysi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1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2E86AB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164" fontId="5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164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Analysis'!C2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'Monthly Analysis'!$A$3:$A$14</f>
            </numRef>
          </cat>
          <val>
            <numRef>
              <f>'Monthly Analysis'!$C$3:$C$14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Revenue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Analysis'!E2</f>
            </strRef>
          </tx>
          <spPr>
            <a:ln xmlns:a="http://schemas.openxmlformats.org/drawingml/2006/main">
              <a:solidFill>
                <a:srgbClr val="E539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Analysis'!$A$3:$A$14</f>
            </numRef>
          </cat>
          <val>
            <numRef>
              <f>'Monthly Analysis'!$E$3:$E$14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Analysis'!C2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'Category Analysis'!$A$3:$A$7</f>
            </numRef>
          </cat>
          <val>
            <numRef>
              <f>'Category Analysis'!$C$3:$C$7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4" customWidth="1" min="8" max="8"/>
    <col width="10" customWidth="1" min="9" max="9"/>
  </cols>
  <sheetData>
    <row r="1" ht="30" customHeight="1">
      <c r="A1" s="1" t="inlineStr">
        <is>
          <t>Sales Performance Dataset — FY 2024</t>
        </is>
      </c>
    </row>
    <row r="2">
      <c r="A2" s="2" t="inlineStr">
        <is>
          <t>Order ID</t>
        </is>
      </c>
      <c r="B2" s="2" t="inlineStr">
        <is>
          <t>Month</t>
        </is>
      </c>
      <c r="C2" s="2" t="inlineStr">
        <is>
          <t>Product</t>
        </is>
      </c>
      <c r="D2" s="2" t="inlineStr">
        <is>
          <t>Category</t>
        </is>
      </c>
      <c r="E2" s="2" t="inlineStr">
        <is>
          <t>Units Sold</t>
        </is>
      </c>
      <c r="F2" s="2" t="inlineStr">
        <is>
          <t>Unit Price (₹)</t>
        </is>
      </c>
      <c r="G2" s="2" t="inlineStr">
        <is>
          <t>Revenue (₹)</t>
        </is>
      </c>
      <c r="H2" s="2" t="inlineStr">
        <is>
          <t>Salesperson</t>
        </is>
      </c>
      <c r="I2" s="2" t="inlineStr">
        <is>
          <t>Region</t>
        </is>
      </c>
    </row>
    <row r="3">
      <c r="A3" s="3" t="n">
        <v>1001</v>
      </c>
      <c r="B3" s="4" t="inlineStr">
        <is>
          <t>January</t>
        </is>
      </c>
      <c r="C3" s="4" t="inlineStr">
        <is>
          <t>Laptop</t>
        </is>
      </c>
      <c r="D3" s="4" t="inlineStr">
        <is>
          <t>Electronics</t>
        </is>
      </c>
      <c r="E3" s="3" t="n">
        <v>5</v>
      </c>
      <c r="F3" s="5" t="n">
        <v>55000</v>
      </c>
      <c r="G3" s="5">
        <f>E3*F3</f>
        <v/>
      </c>
      <c r="H3" s="4" t="inlineStr">
        <is>
          <t>Amit</t>
        </is>
      </c>
      <c r="I3" s="4" t="inlineStr">
        <is>
          <t>North</t>
        </is>
      </c>
    </row>
    <row r="4">
      <c r="A4" s="6" t="n">
        <v>1002</v>
      </c>
      <c r="B4" s="7" t="inlineStr">
        <is>
          <t>January</t>
        </is>
      </c>
      <c r="C4" s="7" t="inlineStr">
        <is>
          <t>Smartphone</t>
        </is>
      </c>
      <c r="D4" s="7" t="inlineStr">
        <is>
          <t>Electronics</t>
        </is>
      </c>
      <c r="E4" s="6" t="n">
        <v>12</v>
      </c>
      <c r="F4" s="8" t="n">
        <v>20000</v>
      </c>
      <c r="G4" s="8">
        <f>E4*F4</f>
        <v/>
      </c>
      <c r="H4" s="7" t="inlineStr">
        <is>
          <t>Priya</t>
        </is>
      </c>
      <c r="I4" s="7" t="inlineStr">
        <is>
          <t>West</t>
        </is>
      </c>
    </row>
    <row r="5">
      <c r="A5" s="3" t="n">
        <v>1003</v>
      </c>
      <c r="B5" s="4" t="inlineStr">
        <is>
          <t>January</t>
        </is>
      </c>
      <c r="C5" s="4" t="inlineStr">
        <is>
          <t>Desk Chair</t>
        </is>
      </c>
      <c r="D5" s="4" t="inlineStr">
        <is>
          <t>Furniture</t>
        </is>
      </c>
      <c r="E5" s="3" t="n">
        <v>8</v>
      </c>
      <c r="F5" s="5" t="n">
        <v>12000</v>
      </c>
      <c r="G5" s="5">
        <f>E5*F5</f>
        <v/>
      </c>
      <c r="H5" s="4" t="inlineStr">
        <is>
          <t>Rohit</t>
        </is>
      </c>
      <c r="I5" s="4" t="inlineStr">
        <is>
          <t>South</t>
        </is>
      </c>
    </row>
    <row r="6">
      <c r="A6" s="6" t="n">
        <v>1004</v>
      </c>
      <c r="B6" s="7" t="inlineStr">
        <is>
          <t>February</t>
        </is>
      </c>
      <c r="C6" s="7" t="inlineStr">
        <is>
          <t>Laptop</t>
        </is>
      </c>
      <c r="D6" s="7" t="inlineStr">
        <is>
          <t>Electronics</t>
        </is>
      </c>
      <c r="E6" s="6" t="n">
        <v>7</v>
      </c>
      <c r="F6" s="8" t="n">
        <v>55000</v>
      </c>
      <c r="G6" s="8">
        <f>E6*F6</f>
        <v/>
      </c>
      <c r="H6" s="7" t="inlineStr">
        <is>
          <t>Amit</t>
        </is>
      </c>
      <c r="I6" s="7" t="inlineStr">
        <is>
          <t>North</t>
        </is>
      </c>
    </row>
    <row r="7">
      <c r="A7" s="3" t="n">
        <v>1005</v>
      </c>
      <c r="B7" s="4" t="inlineStr">
        <is>
          <t>February</t>
        </is>
      </c>
      <c r="C7" s="4" t="inlineStr">
        <is>
          <t>Headphones</t>
        </is>
      </c>
      <c r="D7" s="4" t="inlineStr">
        <is>
          <t>Electronics</t>
        </is>
      </c>
      <c r="E7" s="3" t="n">
        <v>20</v>
      </c>
      <c r="F7" s="5" t="n">
        <v>3500</v>
      </c>
      <c r="G7" s="5">
        <f>E7*F7</f>
        <v/>
      </c>
      <c r="H7" s="4" t="inlineStr">
        <is>
          <t>Sneha</t>
        </is>
      </c>
      <c r="I7" s="4" t="inlineStr">
        <is>
          <t>East</t>
        </is>
      </c>
    </row>
    <row r="8">
      <c r="A8" s="6" t="n">
        <v>1006</v>
      </c>
      <c r="B8" s="7" t="inlineStr">
        <is>
          <t>February</t>
        </is>
      </c>
      <c r="C8" s="7" t="inlineStr">
        <is>
          <t>Study Table</t>
        </is>
      </c>
      <c r="D8" s="7" t="inlineStr">
        <is>
          <t>Furniture</t>
        </is>
      </c>
      <c r="E8" s="6" t="n">
        <v>5</v>
      </c>
      <c r="F8" s="8" t="n">
        <v>8000</v>
      </c>
      <c r="G8" s="8">
        <f>E8*F8</f>
        <v/>
      </c>
      <c r="H8" s="7" t="inlineStr">
        <is>
          <t>Priya</t>
        </is>
      </c>
      <c r="I8" s="7" t="inlineStr">
        <is>
          <t>West</t>
        </is>
      </c>
    </row>
    <row r="9">
      <c r="A9" s="3" t="n">
        <v>1007</v>
      </c>
      <c r="B9" s="4" t="inlineStr">
        <is>
          <t>March</t>
        </is>
      </c>
      <c r="C9" s="4" t="inlineStr">
        <is>
          <t>Smartphone</t>
        </is>
      </c>
      <c r="D9" s="4" t="inlineStr">
        <is>
          <t>Electronics</t>
        </is>
      </c>
      <c r="E9" s="3" t="n">
        <v>15</v>
      </c>
      <c r="F9" s="5" t="n">
        <v>20000</v>
      </c>
      <c r="G9" s="5">
        <f>E9*F9</f>
        <v/>
      </c>
      <c r="H9" s="4" t="inlineStr">
        <is>
          <t>Rohit</t>
        </is>
      </c>
      <c r="I9" s="4" t="inlineStr">
        <is>
          <t>South</t>
        </is>
      </c>
    </row>
    <row r="10">
      <c r="A10" s="6" t="n">
        <v>1008</v>
      </c>
      <c r="B10" s="7" t="inlineStr">
        <is>
          <t>March</t>
        </is>
      </c>
      <c r="C10" s="7" t="inlineStr">
        <is>
          <t>Python Book</t>
        </is>
      </c>
      <c r="D10" s="7" t="inlineStr">
        <is>
          <t>Books</t>
        </is>
      </c>
      <c r="E10" s="6" t="n">
        <v>30</v>
      </c>
      <c r="F10" s="8" t="n">
        <v>600</v>
      </c>
      <c r="G10" s="8">
        <f>E10*F10</f>
        <v/>
      </c>
      <c r="H10" s="7" t="inlineStr">
        <is>
          <t>Neha</t>
        </is>
      </c>
      <c r="I10" s="7" t="inlineStr">
        <is>
          <t>North</t>
        </is>
      </c>
    </row>
    <row r="11">
      <c r="A11" s="3" t="n">
        <v>1009</v>
      </c>
      <c r="B11" s="4" t="inlineStr">
        <is>
          <t>March</t>
        </is>
      </c>
      <c r="C11" s="4" t="inlineStr">
        <is>
          <t>Backpack</t>
        </is>
      </c>
      <c r="D11" s="4" t="inlineStr">
        <is>
          <t>Accessories</t>
        </is>
      </c>
      <c r="E11" s="3" t="n">
        <v>25</v>
      </c>
      <c r="F11" s="5" t="n">
        <v>1500</v>
      </c>
      <c r="G11" s="5">
        <f>E11*F11</f>
        <v/>
      </c>
      <c r="H11" s="4" t="inlineStr">
        <is>
          <t>Amit</t>
        </is>
      </c>
      <c r="I11" s="4" t="inlineStr">
        <is>
          <t>East</t>
        </is>
      </c>
    </row>
    <row r="12">
      <c r="A12" s="6" t="n">
        <v>1010</v>
      </c>
      <c r="B12" s="7" t="inlineStr">
        <is>
          <t>April</t>
        </is>
      </c>
      <c r="C12" s="7" t="inlineStr">
        <is>
          <t>Laptop</t>
        </is>
      </c>
      <c r="D12" s="7" t="inlineStr">
        <is>
          <t>Electronics</t>
        </is>
      </c>
      <c r="E12" s="6" t="n">
        <v>6</v>
      </c>
      <c r="F12" s="8" t="n">
        <v>55000</v>
      </c>
      <c r="G12" s="8">
        <f>E12*F12</f>
        <v/>
      </c>
      <c r="H12" s="7" t="inlineStr">
        <is>
          <t>Sneha</t>
        </is>
      </c>
      <c r="I12" s="7" t="inlineStr">
        <is>
          <t>West</t>
        </is>
      </c>
    </row>
    <row r="13">
      <c r="A13" s="3" t="n">
        <v>1011</v>
      </c>
      <c r="B13" s="4" t="inlineStr">
        <is>
          <t>April</t>
        </is>
      </c>
      <c r="C13" s="4" t="inlineStr">
        <is>
          <t>Desk Chair</t>
        </is>
      </c>
      <c r="D13" s="4" t="inlineStr">
        <is>
          <t>Furniture</t>
        </is>
      </c>
      <c r="E13" s="3" t="n">
        <v>10</v>
      </c>
      <c r="F13" s="5" t="n">
        <v>12000</v>
      </c>
      <c r="G13" s="5">
        <f>E13*F13</f>
        <v/>
      </c>
      <c r="H13" s="4" t="inlineStr">
        <is>
          <t>Priya</t>
        </is>
      </c>
      <c r="I13" s="4" t="inlineStr">
        <is>
          <t>North</t>
        </is>
      </c>
    </row>
    <row r="14">
      <c r="A14" s="6" t="n">
        <v>1012</v>
      </c>
      <c r="B14" s="7" t="inlineStr">
        <is>
          <t>April</t>
        </is>
      </c>
      <c r="C14" s="7" t="inlineStr">
        <is>
          <t>SQL Guide</t>
        </is>
      </c>
      <c r="D14" s="7" t="inlineStr">
        <is>
          <t>Books</t>
        </is>
      </c>
      <c r="E14" s="6" t="n">
        <v>40</v>
      </c>
      <c r="F14" s="8" t="n">
        <v>450</v>
      </c>
      <c r="G14" s="8">
        <f>E14*F14</f>
        <v/>
      </c>
      <c r="H14" s="7" t="inlineStr">
        <is>
          <t>Rohit</t>
        </is>
      </c>
      <c r="I14" s="7" t="inlineStr">
        <is>
          <t>South</t>
        </is>
      </c>
    </row>
    <row r="15">
      <c r="A15" s="3" t="n">
        <v>1013</v>
      </c>
      <c r="B15" s="4" t="inlineStr">
        <is>
          <t>May</t>
        </is>
      </c>
      <c r="C15" s="4" t="inlineStr">
        <is>
          <t>Smartphone</t>
        </is>
      </c>
      <c r="D15" s="4" t="inlineStr">
        <is>
          <t>Electronics</t>
        </is>
      </c>
      <c r="E15" s="3" t="n">
        <v>18</v>
      </c>
      <c r="F15" s="5" t="n">
        <v>20000</v>
      </c>
      <c r="G15" s="5">
        <f>E15*F15</f>
        <v/>
      </c>
      <c r="H15" s="4" t="inlineStr">
        <is>
          <t>Amit</t>
        </is>
      </c>
      <c r="I15" s="4" t="inlineStr">
        <is>
          <t>East</t>
        </is>
      </c>
    </row>
    <row r="16">
      <c r="A16" s="6" t="n">
        <v>1014</v>
      </c>
      <c r="B16" s="7" t="inlineStr">
        <is>
          <t>May</t>
        </is>
      </c>
      <c r="C16" s="7" t="inlineStr">
        <is>
          <t>Headphones</t>
        </is>
      </c>
      <c r="D16" s="7" t="inlineStr">
        <is>
          <t>Electronics</t>
        </is>
      </c>
      <c r="E16" s="6" t="n">
        <v>15</v>
      </c>
      <c r="F16" s="8" t="n">
        <v>3500</v>
      </c>
      <c r="G16" s="8">
        <f>E16*F16</f>
        <v/>
      </c>
      <c r="H16" s="7" t="inlineStr">
        <is>
          <t>Neha</t>
        </is>
      </c>
      <c r="I16" s="7" t="inlineStr">
        <is>
          <t>West</t>
        </is>
      </c>
    </row>
    <row r="17">
      <c r="A17" s="3" t="n">
        <v>1015</v>
      </c>
      <c r="B17" s="4" t="inlineStr">
        <is>
          <t>May</t>
        </is>
      </c>
      <c r="C17" s="4" t="inlineStr">
        <is>
          <t>Notebook Set</t>
        </is>
      </c>
      <c r="D17" s="4" t="inlineStr">
        <is>
          <t>Stationery</t>
        </is>
      </c>
      <c r="E17" s="3" t="n">
        <v>50</v>
      </c>
      <c r="F17" s="5" t="n">
        <v>250</v>
      </c>
      <c r="G17" s="5">
        <f>E17*F17</f>
        <v/>
      </c>
      <c r="H17" s="4" t="inlineStr">
        <is>
          <t>Sneha</t>
        </is>
      </c>
      <c r="I17" s="4" t="inlineStr">
        <is>
          <t>North</t>
        </is>
      </c>
    </row>
    <row r="18">
      <c r="A18" s="6" t="n">
        <v>1016</v>
      </c>
      <c r="B18" s="7" t="inlineStr">
        <is>
          <t>June</t>
        </is>
      </c>
      <c r="C18" s="7" t="inlineStr">
        <is>
          <t>Laptop</t>
        </is>
      </c>
      <c r="D18" s="7" t="inlineStr">
        <is>
          <t>Electronics</t>
        </is>
      </c>
      <c r="E18" s="6" t="n">
        <v>9</v>
      </c>
      <c r="F18" s="8" t="n">
        <v>55000</v>
      </c>
      <c r="G18" s="8">
        <f>E18*F18</f>
        <v/>
      </c>
      <c r="H18" s="7" t="inlineStr">
        <is>
          <t>Priya</t>
        </is>
      </c>
      <c r="I18" s="7" t="inlineStr">
        <is>
          <t>South</t>
        </is>
      </c>
    </row>
    <row r="19">
      <c r="A19" s="3" t="n">
        <v>1017</v>
      </c>
      <c r="B19" s="4" t="inlineStr">
        <is>
          <t>June</t>
        </is>
      </c>
      <c r="C19" s="4" t="inlineStr">
        <is>
          <t>Backpack</t>
        </is>
      </c>
      <c r="D19" s="4" t="inlineStr">
        <is>
          <t>Accessories</t>
        </is>
      </c>
      <c r="E19" s="3" t="n">
        <v>30</v>
      </c>
      <c r="F19" s="5" t="n">
        <v>1500</v>
      </c>
      <c r="G19" s="5">
        <f>E19*F19</f>
        <v/>
      </c>
      <c r="H19" s="4" t="inlineStr">
        <is>
          <t>Rohit</t>
        </is>
      </c>
      <c r="I19" s="4" t="inlineStr">
        <is>
          <t>East</t>
        </is>
      </c>
    </row>
    <row r="20">
      <c r="A20" s="6" t="n">
        <v>1018</v>
      </c>
      <c r="B20" s="7" t="inlineStr">
        <is>
          <t>June</t>
        </is>
      </c>
      <c r="C20" s="7" t="inlineStr">
        <is>
          <t>Study Table</t>
        </is>
      </c>
      <c r="D20" s="7" t="inlineStr">
        <is>
          <t>Furniture</t>
        </is>
      </c>
      <c r="E20" s="6" t="n">
        <v>7</v>
      </c>
      <c r="F20" s="8" t="n">
        <v>8000</v>
      </c>
      <c r="G20" s="8">
        <f>E20*F20</f>
        <v/>
      </c>
      <c r="H20" s="7" t="inlineStr">
        <is>
          <t>Amit</t>
        </is>
      </c>
      <c r="I20" s="7" t="inlineStr">
        <is>
          <t>West</t>
        </is>
      </c>
    </row>
    <row r="21">
      <c r="A21" s="3" t="n">
        <v>1019</v>
      </c>
      <c r="B21" s="4" t="inlineStr">
        <is>
          <t>July</t>
        </is>
      </c>
      <c r="C21" s="4" t="inlineStr">
        <is>
          <t>Smartphone</t>
        </is>
      </c>
      <c r="D21" s="4" t="inlineStr">
        <is>
          <t>Electronics</t>
        </is>
      </c>
      <c r="E21" s="3" t="n">
        <v>20</v>
      </c>
      <c r="F21" s="5" t="n">
        <v>20000</v>
      </c>
      <c r="G21" s="5">
        <f>E21*F21</f>
        <v/>
      </c>
      <c r="H21" s="4" t="inlineStr">
        <is>
          <t>Sneha</t>
        </is>
      </c>
      <c r="I21" s="4" t="inlineStr">
        <is>
          <t>North</t>
        </is>
      </c>
    </row>
    <row r="22">
      <c r="A22" s="6" t="n">
        <v>1020</v>
      </c>
      <c r="B22" s="7" t="inlineStr">
        <is>
          <t>July</t>
        </is>
      </c>
      <c r="C22" s="7" t="inlineStr">
        <is>
          <t>Python Book</t>
        </is>
      </c>
      <c r="D22" s="7" t="inlineStr">
        <is>
          <t>Books</t>
        </is>
      </c>
      <c r="E22" s="6" t="n">
        <v>25</v>
      </c>
      <c r="F22" s="8" t="n">
        <v>600</v>
      </c>
      <c r="G22" s="8">
        <f>E22*F22</f>
        <v/>
      </c>
      <c r="H22" s="7" t="inlineStr">
        <is>
          <t>Neha</t>
        </is>
      </c>
      <c r="I22" s="7" t="inlineStr">
        <is>
          <t>South</t>
        </is>
      </c>
    </row>
    <row r="23">
      <c r="A23" s="3" t="n">
        <v>1021</v>
      </c>
      <c r="B23" s="4" t="inlineStr">
        <is>
          <t>July</t>
        </is>
      </c>
      <c r="C23" s="4" t="inlineStr">
        <is>
          <t>Desk Chair</t>
        </is>
      </c>
      <c r="D23" s="4" t="inlineStr">
        <is>
          <t>Furniture</t>
        </is>
      </c>
      <c r="E23" s="3" t="n">
        <v>12</v>
      </c>
      <c r="F23" s="5" t="n">
        <v>12000</v>
      </c>
      <c r="G23" s="5">
        <f>E23*F23</f>
        <v/>
      </c>
      <c r="H23" s="4" t="inlineStr">
        <is>
          <t>Priya</t>
        </is>
      </c>
      <c r="I23" s="4" t="inlineStr">
        <is>
          <t>East</t>
        </is>
      </c>
    </row>
    <row r="24">
      <c r="A24" s="6" t="n">
        <v>1022</v>
      </c>
      <c r="B24" s="7" t="inlineStr">
        <is>
          <t>August</t>
        </is>
      </c>
      <c r="C24" s="7" t="inlineStr">
        <is>
          <t>Laptop</t>
        </is>
      </c>
      <c r="D24" s="7" t="inlineStr">
        <is>
          <t>Electronics</t>
        </is>
      </c>
      <c r="E24" s="6" t="n">
        <v>8</v>
      </c>
      <c r="F24" s="8" t="n">
        <v>55000</v>
      </c>
      <c r="G24" s="8">
        <f>E24*F24</f>
        <v/>
      </c>
      <c r="H24" s="7" t="inlineStr">
        <is>
          <t>Rohit</t>
        </is>
      </c>
      <c r="I24" s="7" t="inlineStr">
        <is>
          <t>West</t>
        </is>
      </c>
    </row>
    <row r="25">
      <c r="A25" s="3" t="n">
        <v>1023</v>
      </c>
      <c r="B25" s="4" t="inlineStr">
        <is>
          <t>August</t>
        </is>
      </c>
      <c r="C25" s="4" t="inlineStr">
        <is>
          <t>Headphones</t>
        </is>
      </c>
      <c r="D25" s="4" t="inlineStr">
        <is>
          <t>Electronics</t>
        </is>
      </c>
      <c r="E25" s="3" t="n">
        <v>22</v>
      </c>
      <c r="F25" s="5" t="n">
        <v>3500</v>
      </c>
      <c r="G25" s="5">
        <f>E25*F25</f>
        <v/>
      </c>
      <c r="H25" s="4" t="inlineStr">
        <is>
          <t>Amit</t>
        </is>
      </c>
      <c r="I25" s="4" t="inlineStr">
        <is>
          <t>North</t>
        </is>
      </c>
    </row>
    <row r="26">
      <c r="A26" s="6" t="n">
        <v>1024</v>
      </c>
      <c r="B26" s="7" t="inlineStr">
        <is>
          <t>August</t>
        </is>
      </c>
      <c r="C26" s="7" t="inlineStr">
        <is>
          <t>SQL Guide</t>
        </is>
      </c>
      <c r="D26" s="7" t="inlineStr">
        <is>
          <t>Books</t>
        </is>
      </c>
      <c r="E26" s="6" t="n">
        <v>35</v>
      </c>
      <c r="F26" s="8" t="n">
        <v>450</v>
      </c>
      <c r="G26" s="8">
        <f>E26*F26</f>
        <v/>
      </c>
      <c r="H26" s="7" t="inlineStr">
        <is>
          <t>Sneha</t>
        </is>
      </c>
      <c r="I26" s="7" t="inlineStr">
        <is>
          <t>South</t>
        </is>
      </c>
    </row>
    <row r="27">
      <c r="A27" s="3" t="n">
        <v>1025</v>
      </c>
      <c r="B27" s="4" t="inlineStr">
        <is>
          <t>September</t>
        </is>
      </c>
      <c r="C27" s="4" t="inlineStr">
        <is>
          <t>Smartphone</t>
        </is>
      </c>
      <c r="D27" s="4" t="inlineStr">
        <is>
          <t>Electronics</t>
        </is>
      </c>
      <c r="E27" s="3" t="n">
        <v>16</v>
      </c>
      <c r="F27" s="5" t="n">
        <v>20000</v>
      </c>
      <c r="G27" s="5">
        <f>E27*F27</f>
        <v/>
      </c>
      <c r="H27" s="4" t="inlineStr">
        <is>
          <t>Neha</t>
        </is>
      </c>
      <c r="I27" s="4" t="inlineStr">
        <is>
          <t>East</t>
        </is>
      </c>
    </row>
    <row r="28">
      <c r="A28" s="6" t="n">
        <v>1026</v>
      </c>
      <c r="B28" s="7" t="inlineStr">
        <is>
          <t>September</t>
        </is>
      </c>
      <c r="C28" s="7" t="inlineStr">
        <is>
          <t>Notebook Set</t>
        </is>
      </c>
      <c r="D28" s="7" t="inlineStr">
        <is>
          <t>Stationery</t>
        </is>
      </c>
      <c r="E28" s="6" t="n">
        <v>60</v>
      </c>
      <c r="F28" s="8" t="n">
        <v>250</v>
      </c>
      <c r="G28" s="8">
        <f>E28*F28</f>
        <v/>
      </c>
      <c r="H28" s="7" t="inlineStr">
        <is>
          <t>Priya</t>
        </is>
      </c>
      <c r="I28" s="7" t="inlineStr">
        <is>
          <t>West</t>
        </is>
      </c>
    </row>
    <row r="29">
      <c r="A29" s="3" t="n">
        <v>1027</v>
      </c>
      <c r="B29" s="4" t="inlineStr">
        <is>
          <t>September</t>
        </is>
      </c>
      <c r="C29" s="4" t="inlineStr">
        <is>
          <t>Backpack</t>
        </is>
      </c>
      <c r="D29" s="4" t="inlineStr">
        <is>
          <t>Accessories</t>
        </is>
      </c>
      <c r="E29" s="3" t="n">
        <v>28</v>
      </c>
      <c r="F29" s="5" t="n">
        <v>1500</v>
      </c>
      <c r="G29" s="5">
        <f>E29*F29</f>
        <v/>
      </c>
      <c r="H29" s="4" t="inlineStr">
        <is>
          <t>Rohit</t>
        </is>
      </c>
      <c r="I29" s="4" t="inlineStr">
        <is>
          <t>North</t>
        </is>
      </c>
    </row>
    <row r="30">
      <c r="A30" s="6" t="n">
        <v>1028</v>
      </c>
      <c r="B30" s="7" t="inlineStr">
        <is>
          <t>October</t>
        </is>
      </c>
      <c r="C30" s="7" t="inlineStr">
        <is>
          <t>Laptop</t>
        </is>
      </c>
      <c r="D30" s="7" t="inlineStr">
        <is>
          <t>Electronics</t>
        </is>
      </c>
      <c r="E30" s="6" t="n">
        <v>11</v>
      </c>
      <c r="F30" s="8" t="n">
        <v>55000</v>
      </c>
      <c r="G30" s="8">
        <f>E30*F30</f>
        <v/>
      </c>
      <c r="H30" s="7" t="inlineStr">
        <is>
          <t>Amit</t>
        </is>
      </c>
      <c r="I30" s="7" t="inlineStr">
        <is>
          <t>South</t>
        </is>
      </c>
    </row>
    <row r="31">
      <c r="A31" s="3" t="n">
        <v>1029</v>
      </c>
      <c r="B31" s="4" t="inlineStr">
        <is>
          <t>October</t>
        </is>
      </c>
      <c r="C31" s="4" t="inlineStr">
        <is>
          <t>Desk Chair</t>
        </is>
      </c>
      <c r="D31" s="4" t="inlineStr">
        <is>
          <t>Furniture</t>
        </is>
      </c>
      <c r="E31" s="3" t="n">
        <v>9</v>
      </c>
      <c r="F31" s="5" t="n">
        <v>12000</v>
      </c>
      <c r="G31" s="5">
        <f>E31*F31</f>
        <v/>
      </c>
      <c r="H31" s="4" t="inlineStr">
        <is>
          <t>Sneha</t>
        </is>
      </c>
      <c r="I31" s="4" t="inlineStr">
        <is>
          <t>East</t>
        </is>
      </c>
    </row>
    <row r="32">
      <c r="A32" s="6" t="n">
        <v>1030</v>
      </c>
      <c r="B32" s="7" t="inlineStr">
        <is>
          <t>October</t>
        </is>
      </c>
      <c r="C32" s="7" t="inlineStr">
        <is>
          <t>Python Book</t>
        </is>
      </c>
      <c r="D32" s="7" t="inlineStr">
        <is>
          <t>Books</t>
        </is>
      </c>
      <c r="E32" s="6" t="n">
        <v>20</v>
      </c>
      <c r="F32" s="8" t="n">
        <v>600</v>
      </c>
      <c r="G32" s="8">
        <f>E32*F32</f>
        <v/>
      </c>
      <c r="H32" s="7" t="inlineStr">
        <is>
          <t>Neha</t>
        </is>
      </c>
      <c r="I32" s="7" t="inlineStr">
        <is>
          <t>West</t>
        </is>
      </c>
    </row>
    <row r="33">
      <c r="A33" s="3" t="n">
        <v>1031</v>
      </c>
      <c r="B33" s="4" t="inlineStr">
        <is>
          <t>November</t>
        </is>
      </c>
      <c r="C33" s="4" t="inlineStr">
        <is>
          <t>Smartphone</t>
        </is>
      </c>
      <c r="D33" s="4" t="inlineStr">
        <is>
          <t>Electronics</t>
        </is>
      </c>
      <c r="E33" s="3" t="n">
        <v>25</v>
      </c>
      <c r="F33" s="5" t="n">
        <v>20000</v>
      </c>
      <c r="G33" s="5">
        <f>E33*F33</f>
        <v/>
      </c>
      <c r="H33" s="4" t="inlineStr">
        <is>
          <t>Priya</t>
        </is>
      </c>
      <c r="I33" s="4" t="inlineStr">
        <is>
          <t>North</t>
        </is>
      </c>
    </row>
    <row r="34">
      <c r="A34" s="6" t="n">
        <v>1032</v>
      </c>
      <c r="B34" s="7" t="inlineStr">
        <is>
          <t>November</t>
        </is>
      </c>
      <c r="C34" s="7" t="inlineStr">
        <is>
          <t>Headphones</t>
        </is>
      </c>
      <c r="D34" s="7" t="inlineStr">
        <is>
          <t>Electronics</t>
        </is>
      </c>
      <c r="E34" s="6" t="n">
        <v>18</v>
      </c>
      <c r="F34" s="8" t="n">
        <v>3500</v>
      </c>
      <c r="G34" s="8">
        <f>E34*F34</f>
        <v/>
      </c>
      <c r="H34" s="7" t="inlineStr">
        <is>
          <t>Rohit</t>
        </is>
      </c>
      <c r="I34" s="7" t="inlineStr">
        <is>
          <t>South</t>
        </is>
      </c>
    </row>
    <row r="35">
      <c r="A35" s="3" t="n">
        <v>1033</v>
      </c>
      <c r="B35" s="4" t="inlineStr">
        <is>
          <t>November</t>
        </is>
      </c>
      <c r="C35" s="4" t="inlineStr">
        <is>
          <t>Study Table</t>
        </is>
      </c>
      <c r="D35" s="4" t="inlineStr">
        <is>
          <t>Furniture</t>
        </is>
      </c>
      <c r="E35" s="3" t="n">
        <v>6</v>
      </c>
      <c r="F35" s="5" t="n">
        <v>8000</v>
      </c>
      <c r="G35" s="5">
        <f>E35*F35</f>
        <v/>
      </c>
      <c r="H35" s="4" t="inlineStr">
        <is>
          <t>Amit</t>
        </is>
      </c>
      <c r="I35" s="4" t="inlineStr">
        <is>
          <t>East</t>
        </is>
      </c>
    </row>
    <row r="36">
      <c r="A36" s="6" t="n">
        <v>1034</v>
      </c>
      <c r="B36" s="7" t="inlineStr">
        <is>
          <t>December</t>
        </is>
      </c>
      <c r="C36" s="7" t="inlineStr">
        <is>
          <t>Laptop</t>
        </is>
      </c>
      <c r="D36" s="7" t="inlineStr">
        <is>
          <t>Electronics</t>
        </is>
      </c>
      <c r="E36" s="6" t="n">
        <v>14</v>
      </c>
      <c r="F36" s="8" t="n">
        <v>55000</v>
      </c>
      <c r="G36" s="8">
        <f>E36*F36</f>
        <v/>
      </c>
      <c r="H36" s="7" t="inlineStr">
        <is>
          <t>Sneha</t>
        </is>
      </c>
      <c r="I36" s="7" t="inlineStr">
        <is>
          <t>West</t>
        </is>
      </c>
    </row>
    <row r="37">
      <c r="A37" s="3" t="n">
        <v>1035</v>
      </c>
      <c r="B37" s="4" t="inlineStr">
        <is>
          <t>December</t>
        </is>
      </c>
      <c r="C37" s="4" t="inlineStr">
        <is>
          <t>Backpack</t>
        </is>
      </c>
      <c r="D37" s="4" t="inlineStr">
        <is>
          <t>Accessories</t>
        </is>
      </c>
      <c r="E37" s="3" t="n">
        <v>35</v>
      </c>
      <c r="F37" s="5" t="n">
        <v>1500</v>
      </c>
      <c r="G37" s="5">
        <f>E37*F37</f>
        <v/>
      </c>
      <c r="H37" s="4" t="inlineStr">
        <is>
          <t>Neha</t>
        </is>
      </c>
      <c r="I37" s="4" t="inlineStr">
        <is>
          <t>North</t>
        </is>
      </c>
    </row>
    <row r="38">
      <c r="A38" s="6" t="n">
        <v>1036</v>
      </c>
      <c r="B38" s="7" t="inlineStr">
        <is>
          <t>December</t>
        </is>
      </c>
      <c r="C38" s="7" t="inlineStr">
        <is>
          <t>SQL Guide</t>
        </is>
      </c>
      <c r="D38" s="7" t="inlineStr">
        <is>
          <t>Books</t>
        </is>
      </c>
      <c r="E38" s="6" t="n">
        <v>45</v>
      </c>
      <c r="F38" s="8" t="n">
        <v>450</v>
      </c>
      <c r="G38" s="8">
        <f>E38*F38</f>
        <v/>
      </c>
      <c r="H38" s="7" t="inlineStr">
        <is>
          <t>Priya</t>
        </is>
      </c>
      <c r="I38" s="7" t="inlineStr">
        <is>
          <t>South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Monthly Sales Analysis — FY 2024</t>
        </is>
      </c>
    </row>
    <row r="2">
      <c r="A2" s="2" t="inlineStr">
        <is>
          <t>Month</t>
        </is>
      </c>
      <c r="B2" s="2" t="inlineStr">
        <is>
          <t>Total Units Sold</t>
        </is>
      </c>
      <c r="C2" s="2" t="inlineStr">
        <is>
          <t>Total Revenue (₹)</t>
        </is>
      </c>
      <c r="D2" s="2" t="inlineStr">
        <is>
          <t>MoM Growth (%)</t>
        </is>
      </c>
      <c r="E2" s="2" t="inlineStr">
        <is>
          <t>Cumulative Revenue (₹)</t>
        </is>
      </c>
    </row>
    <row r="3">
      <c r="A3" s="9" t="inlineStr">
        <is>
          <t>January</t>
        </is>
      </c>
      <c r="B3" s="9" t="n">
        <v>25</v>
      </c>
      <c r="C3" s="10" t="n">
        <v>611000</v>
      </c>
      <c r="D3" s="9" t="inlineStr">
        <is>
          <t>-</t>
        </is>
      </c>
      <c r="E3" s="10">
        <f>SUM($C$3:C3)</f>
        <v/>
      </c>
    </row>
    <row r="4">
      <c r="A4" s="9" t="inlineStr">
        <is>
          <t>February</t>
        </is>
      </c>
      <c r="B4" s="9" t="n">
        <v>32</v>
      </c>
      <c r="C4" s="10" t="n">
        <v>495000</v>
      </c>
      <c r="D4" s="11">
        <f>(C4-C3)/C3</f>
        <v/>
      </c>
      <c r="E4" s="10">
        <f>SUM($C$3:C4)</f>
        <v/>
      </c>
    </row>
    <row r="5">
      <c r="A5" s="9" t="inlineStr">
        <is>
          <t>March</t>
        </is>
      </c>
      <c r="B5" s="9" t="n">
        <v>70</v>
      </c>
      <c r="C5" s="10" t="n">
        <v>355500</v>
      </c>
      <c r="D5" s="11">
        <f>(C5-C4)/C4</f>
        <v/>
      </c>
      <c r="E5" s="10">
        <f>SUM($C$3:C5)</f>
        <v/>
      </c>
    </row>
    <row r="6">
      <c r="A6" s="9" t="inlineStr">
        <is>
          <t>April</t>
        </is>
      </c>
      <c r="B6" s="9" t="n">
        <v>56</v>
      </c>
      <c r="C6" s="10" t="n">
        <v>468000</v>
      </c>
      <c r="D6" s="11">
        <f>(C6-C5)/C5</f>
        <v/>
      </c>
      <c r="E6" s="10">
        <f>SUM($C$3:C6)</f>
        <v/>
      </c>
    </row>
    <row r="7">
      <c r="A7" s="9" t="inlineStr">
        <is>
          <t>May</t>
        </is>
      </c>
      <c r="B7" s="9" t="n">
        <v>83</v>
      </c>
      <c r="C7" s="10" t="n">
        <v>425000</v>
      </c>
      <c r="D7" s="11">
        <f>(C7-C6)/C6</f>
        <v/>
      </c>
      <c r="E7" s="10">
        <f>SUM($C$3:C7)</f>
        <v/>
      </c>
    </row>
    <row r="8">
      <c r="A8" s="9" t="inlineStr">
        <is>
          <t>June</t>
        </is>
      </c>
      <c r="B8" s="9" t="n">
        <v>46</v>
      </c>
      <c r="C8" s="10" t="n">
        <v>596000</v>
      </c>
      <c r="D8" s="11">
        <f>(C8-C7)/C7</f>
        <v/>
      </c>
      <c r="E8" s="10">
        <f>SUM($C$3:C8)</f>
        <v/>
      </c>
    </row>
    <row r="9">
      <c r="A9" s="9" t="inlineStr">
        <is>
          <t>July</t>
        </is>
      </c>
      <c r="B9" s="9" t="n">
        <v>57</v>
      </c>
      <c r="C9" s="10" t="n">
        <v>559000</v>
      </c>
      <c r="D9" s="11">
        <f>(C9-C8)/C8</f>
        <v/>
      </c>
      <c r="E9" s="10">
        <f>SUM($C$3:C9)</f>
        <v/>
      </c>
    </row>
    <row r="10">
      <c r="A10" s="9" t="inlineStr">
        <is>
          <t>August</t>
        </is>
      </c>
      <c r="B10" s="9" t="n">
        <v>65</v>
      </c>
      <c r="C10" s="10" t="n">
        <v>532750</v>
      </c>
      <c r="D10" s="11">
        <f>(C10-C9)/C9</f>
        <v/>
      </c>
      <c r="E10" s="10">
        <f>SUM($C$3:C10)</f>
        <v/>
      </c>
    </row>
    <row r="11">
      <c r="A11" s="9" t="inlineStr">
        <is>
          <t>September</t>
        </is>
      </c>
      <c r="B11" s="9" t="n">
        <v>104</v>
      </c>
      <c r="C11" s="10" t="n">
        <v>377000</v>
      </c>
      <c r="D11" s="11">
        <f>(C11-C10)/C10</f>
        <v/>
      </c>
      <c r="E11" s="10">
        <f>SUM($C$3:C11)</f>
        <v/>
      </c>
    </row>
    <row r="12">
      <c r="A12" s="9" t="inlineStr">
        <is>
          <t>October</t>
        </is>
      </c>
      <c r="B12" s="9" t="n">
        <v>40</v>
      </c>
      <c r="C12" s="10" t="n">
        <v>725000</v>
      </c>
      <c r="D12" s="11">
        <f>(C12-C11)/C11</f>
        <v/>
      </c>
      <c r="E12" s="10">
        <f>SUM($C$3:C12)</f>
        <v/>
      </c>
    </row>
    <row r="13">
      <c r="A13" s="9" t="inlineStr">
        <is>
          <t>November</t>
        </is>
      </c>
      <c r="B13" s="9" t="n">
        <v>49</v>
      </c>
      <c r="C13" s="10" t="n">
        <v>611000</v>
      </c>
      <c r="D13" s="11">
        <f>(C13-C12)/C12</f>
        <v/>
      </c>
      <c r="E13" s="10">
        <f>SUM($C$3:C13)</f>
        <v/>
      </c>
    </row>
    <row r="14">
      <c r="A14" s="9" t="inlineStr">
        <is>
          <t>December</t>
        </is>
      </c>
      <c r="B14" s="9" t="n">
        <v>94</v>
      </c>
      <c r="C14" s="10" t="n">
        <v>842750</v>
      </c>
      <c r="D14" s="11">
        <f>(C14-C13)/C13</f>
        <v/>
      </c>
      <c r="E14" s="10">
        <f>SUM($C$3:C14)</f>
        <v/>
      </c>
    </row>
    <row r="15">
      <c r="A15" s="12" t="inlineStr">
        <is>
          <t>TOTAL</t>
        </is>
      </c>
      <c r="B15" s="12">
        <f>SUM(B3:B14)</f>
        <v/>
      </c>
      <c r="C15" s="13">
        <f>SUM(C3:C14)</f>
        <v/>
      </c>
      <c r="D15" s="14" t="n"/>
      <c r="E15" s="14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2" customWidth="1" min="4" max="4"/>
    <col width="20" customWidth="1" min="5" max="5"/>
  </cols>
  <sheetData>
    <row r="1">
      <c r="A1" s="1" t="inlineStr">
        <is>
          <t>Category-Wise Performance Analysis</t>
        </is>
      </c>
    </row>
    <row r="2">
      <c r="A2" s="2" t="inlineStr">
        <is>
          <t>Category</t>
        </is>
      </c>
      <c r="B2" s="2" t="inlineStr">
        <is>
          <t>Total Units Sold</t>
        </is>
      </c>
      <c r="C2" s="2" t="inlineStr">
        <is>
          <t>Total Revenue (₹)</t>
        </is>
      </c>
      <c r="D2" s="2" t="inlineStr">
        <is>
          <t>% of Total Revenue</t>
        </is>
      </c>
      <c r="E2" s="2" t="inlineStr">
        <is>
          <t>Avg Unit Price (₹)</t>
        </is>
      </c>
    </row>
    <row r="3">
      <c r="A3" s="4" t="inlineStr">
        <is>
          <t>Electronics</t>
        </is>
      </c>
      <c r="B3" s="3" t="n">
        <v>241</v>
      </c>
      <c r="C3" s="5" t="n">
        <v>5682500</v>
      </c>
      <c r="D3" s="15" t="n">
        <v>0.8612</v>
      </c>
      <c r="E3" s="5" t="n">
        <v>30529</v>
      </c>
    </row>
    <row r="4">
      <c r="A4" s="7" t="inlineStr">
        <is>
          <t>Furniture</t>
        </is>
      </c>
      <c r="B4" s="6" t="n">
        <v>57</v>
      </c>
      <c r="C4" s="8" t="n">
        <v>612000</v>
      </c>
      <c r="D4" s="16" t="n">
        <v>0.09279999999999999</v>
      </c>
      <c r="E4" s="8" t="n">
        <v>10285</v>
      </c>
    </row>
    <row r="5">
      <c r="A5" s="4" t="inlineStr">
        <is>
          <t>Accessories</t>
        </is>
      </c>
      <c r="B5" s="3" t="n">
        <v>118</v>
      </c>
      <c r="C5" s="5" t="n">
        <v>177000</v>
      </c>
      <c r="D5" s="15" t="n">
        <v>0.0268</v>
      </c>
      <c r="E5" s="5" t="n">
        <v>1500</v>
      </c>
    </row>
    <row r="6">
      <c r="A6" s="7" t="inlineStr">
        <is>
          <t>Books</t>
        </is>
      </c>
      <c r="B6" s="6" t="n">
        <v>195</v>
      </c>
      <c r="C6" s="8" t="n">
        <v>99000</v>
      </c>
      <c r="D6" s="16" t="n">
        <v>0.015</v>
      </c>
      <c r="E6" s="8" t="n">
        <v>525</v>
      </c>
    </row>
    <row r="7">
      <c r="A7" s="4" t="inlineStr">
        <is>
          <t>Stationery</t>
        </is>
      </c>
      <c r="B7" s="3" t="n">
        <v>110</v>
      </c>
      <c r="C7" s="5" t="n">
        <v>27500</v>
      </c>
      <c r="D7" s="15" t="n">
        <v>0.0042</v>
      </c>
      <c r="E7" s="5" t="n">
        <v>250</v>
      </c>
    </row>
    <row r="8">
      <c r="A8" s="12" t="inlineStr">
        <is>
          <t>TOTAL</t>
        </is>
      </c>
      <c r="B8" s="12">
        <f>SUM(B3:B7)</f>
        <v/>
      </c>
      <c r="C8" s="13">
        <f>SUM(C3:C7)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0" customWidth="1" min="4" max="4"/>
    <col width="22" customWidth="1" min="5" max="5"/>
    <col width="20" customWidth="1" min="6" max="6"/>
    <col width="24" customWidth="1" min="8" max="8"/>
    <col width="18" customWidth="1" min="9" max="9"/>
  </cols>
  <sheetData>
    <row r="1">
      <c r="A1" s="1" t="inlineStr">
        <is>
          <t>Salesperson Performance &amp; Lookup Table</t>
        </is>
      </c>
    </row>
    <row r="2">
      <c r="A2" s="2" t="inlineStr">
        <is>
          <t>Salesperson</t>
        </is>
      </c>
      <c r="B2" s="2" t="inlineStr">
        <is>
          <t>Region</t>
        </is>
      </c>
      <c r="C2" s="2" t="inlineStr">
        <is>
          <t>Total Units</t>
        </is>
      </c>
      <c r="D2" s="2" t="inlineStr">
        <is>
          <t>Total Revenue (₹)</t>
        </is>
      </c>
      <c r="E2" s="2" t="inlineStr">
        <is>
          <t>Avg Revenue/Order (₹)</t>
        </is>
      </c>
      <c r="F2" s="2" t="inlineStr">
        <is>
          <t>Performance Tag</t>
        </is>
      </c>
      <c r="H2" s="17" t="inlineStr">
        <is>
          <t>🔍 VLOOKUP Demo</t>
        </is>
      </c>
    </row>
    <row r="3">
      <c r="A3" s="4" t="inlineStr">
        <is>
          <t>Amit</t>
        </is>
      </c>
      <c r="B3" s="4" t="inlineStr">
        <is>
          <t>North</t>
        </is>
      </c>
      <c r="C3" s="3" t="n">
        <v>101</v>
      </c>
      <c r="D3" s="5" t="n">
        <v>1843500</v>
      </c>
      <c r="E3" s="5" t="n">
        <v>230438</v>
      </c>
      <c r="F3" s="3">
        <f>IF(D3&gt;500000,"⭐ Top Performer",IF(D3&gt;300000,"✔ Good","Needs Improvement"))</f>
        <v/>
      </c>
      <c r="H3" s="18" t="inlineStr">
        <is>
          <t>Enter Salesperson Name:</t>
        </is>
      </c>
      <c r="I3" s="19" t="inlineStr">
        <is>
          <t>Amit</t>
        </is>
      </c>
    </row>
    <row r="4">
      <c r="A4" s="7" t="inlineStr">
        <is>
          <t>Sneha</t>
        </is>
      </c>
      <c r="B4" s="7" t="inlineStr">
        <is>
          <t>East</t>
        </is>
      </c>
      <c r="C4" s="6" t="n">
        <v>154</v>
      </c>
      <c r="D4" s="8" t="n">
        <v>1706250</v>
      </c>
      <c r="E4" s="8" t="n">
        <v>243750</v>
      </c>
      <c r="F4" s="6">
        <f>IF(D4&gt;500000,"⭐ Top Performer",IF(D4&gt;300000,"✔ Good","Needs Improvement"))</f>
        <v/>
      </c>
      <c r="H4" s="18" t="inlineStr">
        <is>
          <t>Their Total Revenue:</t>
        </is>
      </c>
      <c r="I4" s="20">
        <f>IFERROR(VLOOKUP(I3,A3:D8,4,FALSE),"Not Found")</f>
        <v/>
      </c>
    </row>
    <row r="5">
      <c r="A5" s="4" t="inlineStr">
        <is>
          <t>Priya</t>
        </is>
      </c>
      <c r="B5" s="4" t="inlineStr">
        <is>
          <t>West</t>
        </is>
      </c>
      <c r="C5" s="3" t="n">
        <v>178</v>
      </c>
      <c r="D5" s="5" t="n">
        <v>1574250</v>
      </c>
      <c r="E5" s="5" t="n">
        <v>196781</v>
      </c>
      <c r="F5" s="3">
        <f>IF(D5&gt;500000,"⭐ Top Performer",IF(D5&gt;300000,"✔ Good","Needs Improvement"))</f>
        <v/>
      </c>
    </row>
    <row r="6">
      <c r="A6" s="7" t="inlineStr">
        <is>
          <t>Rohit</t>
        </is>
      </c>
      <c r="B6" s="7" t="inlineStr">
        <is>
          <t>South</t>
        </is>
      </c>
      <c r="C6" s="6" t="n">
        <v>147</v>
      </c>
      <c r="D6" s="8" t="n">
        <v>1004000</v>
      </c>
      <c r="E6" s="8" t="n">
        <v>143429</v>
      </c>
      <c r="F6" s="6">
        <f>IF(D6&gt;500000,"⭐ Top Performer",IF(D6&gt;300000,"✔ Good","Needs Improvement"))</f>
        <v/>
      </c>
    </row>
    <row r="7">
      <c r="A7" s="4" t="inlineStr">
        <is>
          <t>Neha</t>
        </is>
      </c>
      <c r="B7" s="4" t="inlineStr">
        <is>
          <t>North</t>
        </is>
      </c>
      <c r="C7" s="3" t="n">
        <v>141</v>
      </c>
      <c r="D7" s="5" t="n">
        <v>470000</v>
      </c>
      <c r="E7" s="5" t="n">
        <v>78333</v>
      </c>
      <c r="F7" s="3">
        <f>IF(D7&gt;500000,"⭐ Top Performer",IF(D7&gt;300000,"✔ Good","Needs Improvement"))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  <col width="20" customWidth="1" min="8" max="8"/>
    <col width="3" customWidth="1" min="9" max="9"/>
    <col width="3" customWidth="1" min="10" max="10"/>
  </cols>
  <sheetData>
    <row r="2" ht="35" customHeight="1">
      <c r="B2" s="21" t="inlineStr">
        <is>
          <t>📊 Sales Performance Dashboard — FY 2024</t>
        </is>
      </c>
    </row>
    <row r="4">
      <c r="B4" s="22" t="inlineStr">
        <is>
          <t>Total Revenue</t>
        </is>
      </c>
      <c r="D4" s="22" t="inlineStr">
        <is>
          <t>Total Units Sold</t>
        </is>
      </c>
      <c r="F4" s="22" t="inlineStr">
        <is>
          <t>Best Month</t>
        </is>
      </c>
      <c r="H4" s="22" t="inlineStr">
        <is>
          <t>Top Category</t>
        </is>
      </c>
    </row>
    <row r="5"/>
    <row r="6">
      <c r="B6" s="23">
        <f>'Monthly Analysis'!C15</f>
        <v/>
      </c>
      <c r="D6" s="24">
        <f>'Monthly Analysis'!B15</f>
        <v/>
      </c>
      <c r="F6" s="24">
        <f>INDEX('Monthly Analysis'!A3:A14,MATCH(MAX('Monthly Analysis'!C3:C14),'Monthly Analysis'!C3:C14,0))</f>
        <v/>
      </c>
      <c r="H6" s="24">
        <f>INDEX('Category Analysis'!A3:A7,MATCH(MAX('Category Analysis'!C3:C7),'Category Analysis'!C3:C7,0))</f>
        <v/>
      </c>
    </row>
    <row r="7"/>
    <row r="8">
      <c r="B8" s="25" t="inlineStr">
        <is>
          <t>➡ See Monthly Analysis, Category Analysis, and Salesperson Analysis sheets for detailed breakdowns.</t>
        </is>
      </c>
    </row>
  </sheetData>
  <mergeCells count="9">
    <mergeCell ref="B4:B5"/>
    <mergeCell ref="F4:F5"/>
    <mergeCell ref="D4:D5"/>
    <mergeCell ref="H4:H5"/>
    <mergeCell ref="H6:H7"/>
    <mergeCell ref="D6:D7"/>
    <mergeCell ref="B6:B7"/>
    <mergeCell ref="F6:F7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2026-06-23T07:34:18Z</dcterms:created>
  <dcterms:modified xmlns:dcterms="http://purl.org/dc/terms/" xmlns:xsi="http://www.w3.org/2001/XMLSchema-instance" xsi:type="dcterms:W3CDTF">2026-06-23T07:34:18Z</dcterms:modified>
</cp:coreProperties>
</file>